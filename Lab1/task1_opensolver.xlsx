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4D11E7F3-306A-41F1-B3AC-C656178193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6" i="1"/>
  <c r="B13" i="1" s="1"/>
  <c r="I5" i="1"/>
  <c r="B12" i="1" s="1"/>
  <c r="I4" i="1"/>
  <c r="B11" i="1" s="1"/>
  <c r="I3" i="1"/>
  <c r="B10" i="1" s="1"/>
</calcChain>
</file>

<file path=xl/sharedStrings.xml><?xml version="1.0" encoding="utf-8"?>
<sst xmlns="http://schemas.openxmlformats.org/spreadsheetml/2006/main" count="29" uniqueCount="22">
  <si>
    <t>Продукт</t>
  </si>
  <si>
    <t>Мясо</t>
  </si>
  <si>
    <t>Рыба</t>
  </si>
  <si>
    <t>Молоко</t>
  </si>
  <si>
    <t>Масло</t>
  </si>
  <si>
    <t>Сыр</t>
  </si>
  <si>
    <t>Крупа</t>
  </si>
  <si>
    <t>Картофель</t>
  </si>
  <si>
    <t>Итого</t>
  </si>
  <si>
    <t>Ед.изм.</t>
  </si>
  <si>
    <t>Норма</t>
  </si>
  <si>
    <t>Количество (кг)</t>
  </si>
  <si>
    <t>Белки</t>
  </si>
  <si>
    <t>г</t>
  </si>
  <si>
    <t>Жиры</t>
  </si>
  <si>
    <t>Углеводы</t>
  </si>
  <si>
    <t>Минеральные соли</t>
  </si>
  <si>
    <t>Цена 1 кг</t>
  </si>
  <si>
    <t>руб</t>
  </si>
  <si>
    <t>Общая стоимость</t>
  </si>
  <si>
    <t>Проверка норм</t>
  </si>
  <si>
    <t>Соли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</si>
</sst>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Border="1"/>
    <xf numFmtId="0" fontId="0" fillId="0" borderId="3" xfId="0" applyBorder="1"/>
    <xf numFmtId="0" fontId="1" fillId="0" borderId="4" xfId="0" applyFont="1" applyBorder="1"/>
    <xf numFmtId="0" fontId="7" fillId="0" borderId="0" xfId="0" applyFont="1"/>
    <xf numFmtId="0" fontId="8" fillId="2" borderId="2" xfId="0" applyFont="1" applyFill="1" applyBorder="1"/>
    <xf numFmtId="0" fontId="9" fillId="2" borderId="1" xfId="0" applyFont="1" applyFill="1" applyBorder="1"/>
    <xf numFmtId="0" fontId="10" fillId="3" borderId="1" xfId="0" applyFont="1" applyFill="1" applyBorder="1"/>
    <xf numFmtId="0" fontId="6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Лист1!A3:A6</c:f>
              <c:strCache>
                <c:ptCount val="4"/>
                <c:pt idx="0">
                  <c:v>Белки</c:v>
                </c:pt>
                <c:pt idx="1">
                  <c:v>Жиры</c:v>
                </c:pt>
                <c:pt idx="2">
                  <c:v>Углеводы</c:v>
                </c:pt>
                <c:pt idx="3">
                  <c:v>Минеральные соли</c:v>
                </c:pt>
              </c:strCache>
            </c:strRef>
          </c:cat>
          <c:val>
            <c:numRef>
              <c:f>Лист1!$I$2:$I$6</c:f>
              <c:numCache>
                <c:formatCode>General</c:formatCode>
                <c:ptCount val="5"/>
                <c:pt idx="1">
                  <c:v>118.003</c:v>
                </c:pt>
                <c:pt idx="2">
                  <c:v>56.563000000000002</c:v>
                </c:pt>
                <c:pt idx="3">
                  <c:v>588.51900000000001</c:v>
                </c:pt>
                <c:pt idx="4">
                  <c:v>18.510000000000002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69E-4CEA-8A9B-3C1753212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2660612299726747E-2"/>
          <c:y val="0.87663869885116819"/>
          <c:w val="0.85669345595366475"/>
          <c:h val="9.2213760165225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2</xdr:row>
      <xdr:rowOff>171450</xdr:rowOff>
    </xdr:from>
    <xdr:to>
      <xdr:col>17</xdr:col>
      <xdr:colOff>314325</xdr:colOff>
      <xdr:row>15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AA61A03-914E-23EE-5168-41B16EA4E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3" activeCellId="1" sqref="I1:I6 A3:A6"/>
    </sheetView>
  </sheetViews>
  <sheetFormatPr defaultRowHeight="15"/>
  <cols>
    <col min="1" max="1" width="19.28515625" customWidth="1"/>
    <col min="2" max="2" width="5.85546875" customWidth="1"/>
    <col min="3" max="3" width="6.28515625" customWidth="1"/>
    <col min="5" max="5" width="7.5703125" customWidth="1"/>
    <col min="6" max="6" width="6.28515625" customWidth="1"/>
    <col min="8" max="8" width="10.5703125" bestFit="1" customWidth="1"/>
    <col min="9" max="9" width="6.7109375" customWidth="1"/>
    <col min="10" max="10" width="6.5703125" customWidth="1"/>
    <col min="11" max="11" width="7.7109375" customWidth="1"/>
    <col min="12" max="12" width="8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</row>
    <row r="2" spans="1:12">
      <c r="A2" s="1" t="s">
        <v>11</v>
      </c>
      <c r="B2" s="6">
        <v>0</v>
      </c>
      <c r="C2" s="6">
        <v>0</v>
      </c>
      <c r="D2" s="6">
        <v>0</v>
      </c>
      <c r="E2" s="6">
        <v>3.4000000000000002E-2</v>
      </c>
      <c r="F2" s="6">
        <v>0</v>
      </c>
      <c r="G2" s="6">
        <v>0.90510000000000002</v>
      </c>
      <c r="H2" s="6">
        <v>0</v>
      </c>
      <c r="I2" s="6"/>
      <c r="J2" s="6"/>
      <c r="K2" s="6"/>
    </row>
    <row r="3" spans="1:12">
      <c r="A3" s="1" t="s">
        <v>12</v>
      </c>
      <c r="B3" s="6">
        <v>180</v>
      </c>
      <c r="C3" s="6">
        <v>190</v>
      </c>
      <c r="D3" s="6">
        <v>30</v>
      </c>
      <c r="E3" s="6">
        <v>10</v>
      </c>
      <c r="F3" s="6">
        <v>260</v>
      </c>
      <c r="G3" s="6">
        <v>130</v>
      </c>
      <c r="H3" s="6">
        <v>21</v>
      </c>
      <c r="I3" s="6">
        <f>SUMPRODUCT(A3:G3,$A$2:$G$2)</f>
        <v>118.003</v>
      </c>
      <c r="J3" s="6" t="s">
        <v>13</v>
      </c>
      <c r="K3" s="6">
        <v>118</v>
      </c>
      <c r="L3" s="7"/>
    </row>
    <row r="4" spans="1:12">
      <c r="A4" s="1" t="s">
        <v>14</v>
      </c>
      <c r="B4" s="6">
        <v>20</v>
      </c>
      <c r="C4" s="6">
        <v>3</v>
      </c>
      <c r="D4" s="6">
        <v>40</v>
      </c>
      <c r="E4" s="6">
        <v>865</v>
      </c>
      <c r="F4" s="6">
        <v>310</v>
      </c>
      <c r="G4" s="6">
        <v>30</v>
      </c>
      <c r="H4" s="6">
        <v>2</v>
      </c>
      <c r="I4" s="6">
        <f>SUMPRODUCT(A4:G4,$A$2:$G$2)</f>
        <v>56.563000000000002</v>
      </c>
      <c r="J4" s="6" t="s">
        <v>13</v>
      </c>
      <c r="K4" s="6">
        <v>56</v>
      </c>
    </row>
    <row r="5" spans="1:12">
      <c r="A5" s="1" t="s">
        <v>15</v>
      </c>
      <c r="B5" s="6">
        <v>0</v>
      </c>
      <c r="C5" s="6">
        <v>0</v>
      </c>
      <c r="D5" s="6">
        <v>50</v>
      </c>
      <c r="E5" s="6">
        <v>6</v>
      </c>
      <c r="F5" s="6">
        <v>20</v>
      </c>
      <c r="G5" s="6">
        <v>650</v>
      </c>
      <c r="H5" s="6">
        <v>200</v>
      </c>
      <c r="I5" s="6">
        <f>SUMPRODUCT(A5:G5,$A$2:$G$2)</f>
        <v>588.51900000000001</v>
      </c>
      <c r="J5" s="6" t="s">
        <v>13</v>
      </c>
      <c r="K5" s="6">
        <v>500</v>
      </c>
    </row>
    <row r="6" spans="1:12">
      <c r="A6" s="1" t="s">
        <v>16</v>
      </c>
      <c r="B6" s="9">
        <v>9</v>
      </c>
      <c r="C6" s="9">
        <v>10</v>
      </c>
      <c r="D6" s="9">
        <v>7</v>
      </c>
      <c r="E6" s="9">
        <v>12</v>
      </c>
      <c r="F6" s="9">
        <v>60</v>
      </c>
      <c r="G6" s="9">
        <v>20</v>
      </c>
      <c r="H6" s="9">
        <v>10</v>
      </c>
      <c r="I6" s="9">
        <f>SUMPRODUCT(A6:G6,$A$2:$G$2)</f>
        <v>18.510000000000002</v>
      </c>
      <c r="J6" s="9" t="s">
        <v>13</v>
      </c>
      <c r="K6" s="9">
        <v>8</v>
      </c>
    </row>
    <row r="7" spans="1:12">
      <c r="A7" s="10" t="s">
        <v>17</v>
      </c>
      <c r="B7" s="6">
        <v>450</v>
      </c>
      <c r="C7" s="6">
        <v>350</v>
      </c>
      <c r="D7" s="6">
        <v>90</v>
      </c>
      <c r="E7" s="6">
        <v>180</v>
      </c>
      <c r="F7" s="6">
        <v>600</v>
      </c>
      <c r="G7" s="6">
        <v>80</v>
      </c>
      <c r="H7" s="6">
        <v>40</v>
      </c>
      <c r="I7" s="9"/>
      <c r="J7" s="9" t="s">
        <v>18</v>
      </c>
      <c r="K7" s="6"/>
    </row>
    <row r="8" spans="1:12">
      <c r="A8" s="1" t="s">
        <v>19</v>
      </c>
      <c r="B8" s="8"/>
      <c r="C8" s="8"/>
      <c r="D8" s="8"/>
      <c r="E8" s="8"/>
      <c r="F8" s="8"/>
      <c r="G8" s="8"/>
      <c r="H8" s="8"/>
      <c r="I8" s="14">
        <f>SUMPRODUCT(B7:H7,B2:H2)</f>
        <v>78.528000000000006</v>
      </c>
      <c r="J8" s="6" t="s">
        <v>18</v>
      </c>
      <c r="K8" s="8"/>
    </row>
    <row r="9" spans="1:12">
      <c r="A9" s="15" t="s">
        <v>20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2">
      <c r="A10" s="12" t="s">
        <v>12</v>
      </c>
      <c r="B10" s="13" t="str">
        <f>IF(I3&gt;=K3,"Да","Нет")</f>
        <v>Да</v>
      </c>
      <c r="C10" s="8"/>
      <c r="D10" s="8"/>
      <c r="E10" s="8"/>
      <c r="F10" s="8"/>
      <c r="G10" s="8"/>
      <c r="H10" s="8"/>
      <c r="I10" s="8"/>
      <c r="J10" s="8"/>
      <c r="K10" s="8"/>
    </row>
    <row r="11" spans="1:12">
      <c r="A11" s="12" t="s">
        <v>14</v>
      </c>
      <c r="B11" s="13" t="str">
        <f t="shared" ref="B11:B13" si="0">IF(I4&gt;=K4,"Да","Нет")</f>
        <v>Да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>
      <c r="A12" s="12" t="s">
        <v>15</v>
      </c>
      <c r="B12" s="13" t="str">
        <f t="shared" si="0"/>
        <v>Да</v>
      </c>
      <c r="C12" s="8"/>
      <c r="D12" s="8"/>
      <c r="E12" s="8"/>
      <c r="F12" s="8"/>
      <c r="G12" s="8"/>
      <c r="H12" s="8"/>
      <c r="I12" s="8"/>
      <c r="J12" s="8"/>
      <c r="K12" s="8"/>
    </row>
    <row r="13" spans="1:12">
      <c r="A13" s="12" t="s">
        <v>21</v>
      </c>
      <c r="B13" s="13" t="str">
        <f t="shared" si="0"/>
        <v>Да</v>
      </c>
      <c r="C13" s="8"/>
      <c r="D13" s="8"/>
      <c r="E13" s="8"/>
      <c r="F13" s="8"/>
      <c r="G13" s="8"/>
      <c r="H13" s="8"/>
      <c r="I13" s="8"/>
      <c r="J13" s="8"/>
      <c r="K13" s="8"/>
    </row>
    <row r="14" spans="1:12">
      <c r="A14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2026-02-03T08:26:03Z</dcterms:created>
  <dcterms:modified xsi:type="dcterms:W3CDTF">2026-02-03T10:41:06Z</dcterms:modified>
  <cp:category/>
  <cp:contentStatus/>
</cp:coreProperties>
</file>